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 VEDANTA EXEL\"/>
    </mc:Choice>
  </mc:AlternateContent>
  <xr:revisionPtr revIDLastSave="0" documentId="8_{B998817C-AE90-40F4-B1CB-9D2A148D6364}" xr6:coauthVersionLast="47" xr6:coauthVersionMax="47" xr10:uidLastSave="{00000000-0000-0000-0000-000000000000}"/>
  <bookViews>
    <workbookView xWindow="-108" yWindow="-108" windowWidth="23256" windowHeight="12456" xr2:uid="{276B8DED-EDCC-4FE3-B94A-FFF51F038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P2" i="1"/>
  <c r="P3" i="1"/>
  <c r="P4" i="1"/>
  <c r="P5" i="1"/>
  <c r="P6" i="1"/>
  <c r="P7" i="1"/>
  <c r="P8" i="1"/>
  <c r="P9" i="1"/>
  <c r="P10" i="1"/>
  <c r="P11" i="1"/>
  <c r="P12" i="1"/>
  <c r="N4" i="1"/>
  <c r="N5" i="1"/>
  <c r="N6" i="1"/>
  <c r="N7" i="1"/>
  <c r="N8" i="1"/>
  <c r="N9" i="1"/>
  <c r="N10" i="1"/>
  <c r="N11" i="1"/>
  <c r="N12" i="1"/>
  <c r="N3" i="1"/>
  <c r="N2" i="1"/>
  <c r="Q2" i="1"/>
  <c r="Q3" i="1"/>
  <c r="Q4" i="1"/>
  <c r="Q5" i="1"/>
  <c r="Q6" i="1"/>
  <c r="Q7" i="1"/>
  <c r="Q8" i="1"/>
  <c r="Q9" i="1"/>
  <c r="Q10" i="1"/>
  <c r="Q11" i="1"/>
  <c r="Q12" i="1"/>
  <c r="R2" i="1"/>
  <c r="R3" i="1"/>
  <c r="R4" i="1"/>
  <c r="R5" i="1"/>
  <c r="R6" i="1"/>
  <c r="R7" i="1"/>
  <c r="R8" i="1"/>
  <c r="R9" i="1"/>
  <c r="R10" i="1"/>
  <c r="R11" i="1"/>
  <c r="R12" i="1"/>
  <c r="M2" i="1"/>
  <c r="M3" i="1"/>
  <c r="M4" i="1"/>
  <c r="M5" i="1"/>
  <c r="M6" i="1"/>
  <c r="M7" i="1"/>
  <c r="M8" i="1"/>
  <c r="M9" i="1"/>
  <c r="M10" i="1"/>
  <c r="M11" i="1"/>
  <c r="M12" i="1"/>
  <c r="L2" i="1"/>
  <c r="L3" i="1"/>
  <c r="L4" i="1"/>
  <c r="L5" i="1"/>
  <c r="L6" i="1"/>
  <c r="L7" i="1"/>
  <c r="L8" i="1"/>
  <c r="L9" i="1"/>
  <c r="L10" i="1"/>
  <c r="L11" i="1"/>
  <c r="L12" i="1"/>
  <c r="K2" i="1"/>
  <c r="K3" i="1"/>
  <c r="K4" i="1"/>
  <c r="K5" i="1"/>
  <c r="K6" i="1"/>
  <c r="K7" i="1"/>
  <c r="K8" i="1"/>
  <c r="K9" i="1"/>
  <c r="K10" i="1"/>
  <c r="K11" i="1"/>
  <c r="K12" i="1"/>
  <c r="J2" i="1"/>
  <c r="J3" i="1"/>
  <c r="J4" i="1"/>
  <c r="J5" i="1"/>
  <c r="J6" i="1"/>
  <c r="J7" i="1"/>
  <c r="J8" i="1"/>
  <c r="J9" i="1"/>
  <c r="J10" i="1"/>
  <c r="J11" i="1"/>
  <c r="J12" i="1"/>
  <c r="I2" i="1"/>
  <c r="I3" i="1"/>
  <c r="I4" i="1"/>
  <c r="I5" i="1"/>
  <c r="I6" i="1"/>
  <c r="I7" i="1"/>
  <c r="I8" i="1"/>
  <c r="I9" i="1"/>
  <c r="I10" i="1"/>
  <c r="I11" i="1"/>
  <c r="I12" i="1"/>
  <c r="H2" i="1"/>
  <c r="H3" i="1"/>
  <c r="H4" i="1"/>
  <c r="H5" i="1"/>
  <c r="H6" i="1"/>
  <c r="H7" i="1"/>
  <c r="H8" i="1"/>
  <c r="H9" i="1"/>
  <c r="H10" i="1"/>
  <c r="H11" i="1"/>
  <c r="H12" i="1"/>
  <c r="F2" i="1"/>
  <c r="F3" i="1"/>
  <c r="F4" i="1"/>
  <c r="F5" i="1"/>
  <c r="F6" i="1"/>
  <c r="F7" i="1"/>
  <c r="F8" i="1"/>
  <c r="F9" i="1"/>
  <c r="F10" i="1"/>
  <c r="F11" i="1"/>
  <c r="F12" i="1"/>
  <c r="G2" i="1"/>
  <c r="G3" i="1"/>
  <c r="G4" i="1"/>
  <c r="G5" i="1"/>
  <c r="G6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<sst xmlns="http://schemas.openxmlformats.org/spreadsheetml/2006/main" count="40" uniqueCount="30">
  <si>
    <t>Employee</t>
  </si>
  <si>
    <t>Department</t>
  </si>
  <si>
    <t>Salary</t>
  </si>
  <si>
    <t>Sales</t>
  </si>
  <si>
    <t>Performance Score</t>
  </si>
  <si>
    <t>Rahul</t>
  </si>
  <si>
    <t>Priya</t>
  </si>
  <si>
    <t>HR</t>
  </si>
  <si>
    <t>Amit</t>
  </si>
  <si>
    <t>Sneha</t>
  </si>
  <si>
    <t>IT</t>
  </si>
  <si>
    <t>Karan</t>
  </si>
  <si>
    <t>Neha</t>
  </si>
  <si>
    <t>Rohit</t>
  </si>
  <si>
    <t>Pooja</t>
  </si>
  <si>
    <t>Akash</t>
  </si>
  <si>
    <t>Meena</t>
  </si>
  <si>
    <t>UPPER</t>
  </si>
  <si>
    <t>LOWER</t>
  </si>
  <si>
    <t>PROPER</t>
  </si>
  <si>
    <t>LEFT</t>
  </si>
  <si>
    <t>RIGTH</t>
  </si>
  <si>
    <t>MID</t>
  </si>
  <si>
    <t>LENGTH</t>
  </si>
  <si>
    <t>TRIM</t>
  </si>
  <si>
    <t>CONCATE</t>
  </si>
  <si>
    <t>TEXTJOIN</t>
  </si>
  <si>
    <t>FIND</t>
  </si>
  <si>
    <t>SUBSTITUDE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</si>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</sst>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1182D-CA83-4A74-A241-E9CA2E686E48}" name="Table1" displayName="Table1" ref="A1:R12" totalsRowShown="0" headerRowDxfId="19" dataDxfId="14">
  <autoFilter ref="A1:R12" xr:uid="{4371182D-CA83-4A74-A241-E9CA2E686E48}"/>
  <tableColumns count="18">
    <tableColumn id="1" xr3:uid="{254EFB7B-DEF9-4188-85F1-FB66F4AC877A}" name="Employee" dataDxfId="18"/>
    <tableColumn id="2" xr3:uid="{1CC1EE93-BFAB-4555-8CD0-08015DBD9376}" name="Department" dataDxfId="17"/>
    <tableColumn id="3" xr3:uid="{491979A5-D642-4251-8FB7-0AA8A9F31694}" name="Salary" dataDxfId="16"/>
    <tableColumn id="4" xr3:uid="{67E27354-9664-450C-AC48-9D51CA0A1D49}" name="Sales" dataDxfId="15"/>
    <tableColumn id="5" xr3:uid="{C754F260-B04E-43F5-82D4-37C6380CD2BF}" name="Performance Score" dataDxfId="13"/>
    <tableColumn id="6" xr3:uid="{3D2260C2-4EB4-4D7C-A9A7-08A3CB728462}" name="UPPER" dataDxfId="11">
      <calculatedColumnFormula>UPPER(Table1[[#This Row],[Employee]])</calculatedColumnFormula>
    </tableColumn>
    <tableColumn id="7" xr3:uid="{4AAC56D5-DD4F-42A7-8057-06D606264E7A}" name="LOWER" dataDxfId="12">
      <calculatedColumnFormula>LOWER(Table1[[#This Row],[Employee]])</calculatedColumnFormula>
    </tableColumn>
    <tableColumn id="8" xr3:uid="{959D35FA-22AA-4F01-A791-F853F90E7F0D}" name="PROPER" dataDxfId="10">
      <calculatedColumnFormula>PROPER(A3)</calculatedColumnFormula>
    </tableColumn>
    <tableColumn id="9" xr3:uid="{BD02639F-CEF6-4018-832D-8E6820E01ECE}" name="LEFT" dataDxfId="9">
      <calculatedColumnFormula>LEFT(Table1[[#This Row],[Employee]],2)</calculatedColumnFormula>
    </tableColumn>
    <tableColumn id="10" xr3:uid="{9274BB8E-E7FB-400D-A314-B50616017FF8}" name="RIGTH" dataDxfId="8">
      <calculatedColumnFormula>RIGHT(Table1[[#This Row],[Employee]],3)</calculatedColumnFormula>
    </tableColumn>
    <tableColumn id="11" xr3:uid="{AC2536C9-28FA-475F-B179-20C4865DF48D}" name="MID" dataDxfId="7">
      <calculatedColumnFormula>MID(Table1[[#This Row],[Employee]],2,3)</calculatedColumnFormula>
    </tableColumn>
    <tableColumn id="12" xr3:uid="{3C078AAD-B003-4FB4-ADAD-6344CDD7BCD7}" name="LENGTH" dataDxfId="6">
      <calculatedColumnFormula>LEN(Table1[[#This Row],[Employee]])</calculatedColumnFormula>
    </tableColumn>
    <tableColumn id="13" xr3:uid="{805868C9-3CDB-4697-8706-9312FA6883CD}" name="TRIM" dataDxfId="5">
      <calculatedColumnFormula>TRIM(Table1[[#This Row],[Employee]])</calculatedColumnFormula>
    </tableColumn>
    <tableColumn id="14" xr3:uid="{441BC7A4-DD5F-421F-B8CB-2F3AD6170DAF}" name="CONCATE" dataDxfId="4">
      <calculatedColumnFormula>_xlfn.CONCAT(Table1[[#This Row],[Employee]]," ",Table1[[#This Row],[Department]])</calculatedColumnFormula>
    </tableColumn>
    <tableColumn id="15" xr3:uid="{8B9A155F-FBE3-4821-86F2-81D5C5F72998}" name="TEXTJOIN" dataDxfId="0">
      <calculatedColumnFormula>_xlfn.TEXTJOIN("@",TRUE,Table1[[#This Row],[UPPER]],Table1[[#This Row],[LOWER]])</calculatedColumnFormula>
    </tableColumn>
    <tableColumn id="16" xr3:uid="{F5A3CFF7-85BF-4072-A02A-309DD4D38BA2}" name="FIND" dataDxfId="1">
      <calculatedColumnFormula>FIND("a",Table1[[#This Row],[Employee]])</calculatedColumnFormula>
    </tableColumn>
    <tableColumn id="17" xr3:uid="{5F36A6B9-634D-4664-A979-580A4C15DC16}" name="SUBSTITUDE" dataDxfId="2">
      <calculatedColumnFormula>SUBSTITUTE(Table1[[#This Row],[Employee]],A3,"RAHUL")</calculatedColumnFormula>
    </tableColumn>
    <tableColumn id="18" xr3:uid="{34CD7107-D5DE-40EB-817E-0573F9931F95}" name="REPLACE" dataDxfId="3">
      <calculatedColumnFormula>REPLACE(Table1[[#This Row],[Employee]],2,2,"I")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2C0B-40AC-4BD9-A8AB-4523AB215DED}">
  <dimension ref="A1:R15"/>
  <sheetViews>
    <sheetView tabSelected="1" topLeftCell="E1" workbookViewId="0">
      <selection activeCell="O3" sqref="O3"/>
    </sheetView>
  </sheetViews>
  <sheetFormatPr defaultRowHeight="14.4" x14ac:dyDescent="0.3"/>
  <cols>
    <col min="1" max="1" width="11.21875" customWidth="1"/>
    <col min="2" max="2" width="13" customWidth="1"/>
    <col min="5" max="5" width="18.88671875" customWidth="1"/>
    <col min="6" max="6" width="8.88671875" style="1"/>
    <col min="7" max="7" width="11.5546875" style="1" bestFit="1" customWidth="1"/>
    <col min="8" max="8" width="12.21875" style="1" bestFit="1" customWidth="1"/>
    <col min="9" max="9" width="9.21875" style="1" bestFit="1" customWidth="1"/>
    <col min="10" max="10" width="10.5546875" style="1" bestFit="1" customWidth="1"/>
    <col min="11" max="11" width="9" style="1" bestFit="1" customWidth="1"/>
    <col min="12" max="12" width="12.109375" style="1" bestFit="1" customWidth="1"/>
    <col min="13" max="13" width="9.88671875" style="1" bestFit="1" customWidth="1"/>
    <col min="14" max="14" width="24.5546875" style="1" bestFit="1" customWidth="1"/>
    <col min="15" max="15" width="31.21875" style="1" customWidth="1"/>
    <col min="16" max="16" width="9.44140625" style="1" bestFit="1" customWidth="1"/>
    <col min="17" max="17" width="16" style="1" bestFit="1" customWidth="1"/>
    <col min="18" max="18" width="8.8867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x14ac:dyDescent="0.3">
      <c r="A2" s="1" t="s">
        <v>5</v>
      </c>
      <c r="B2" s="1" t="s">
        <v>3</v>
      </c>
      <c r="C2" s="1">
        <v>35000</v>
      </c>
      <c r="D2" s="1">
        <v>85000</v>
      </c>
      <c r="E2" s="1">
        <v>82</v>
      </c>
      <c r="F2" s="1" t="str">
        <f>UPPER(Table1[[#This Row],[Employee]])</f>
        <v>RAHUL</v>
      </c>
      <c r="G2" s="1" t="str">
        <f>LOWER(Table1[[#This Row],[Employee]])</f>
        <v>rahul</v>
      </c>
      <c r="H2" s="1" t="str">
        <f t="shared" ref="H2:H12" si="0">PROPER(A3)</f>
        <v>Priya</v>
      </c>
      <c r="I2" s="1" t="str">
        <f>LEFT(Table1[[#This Row],[Employee]],2)</f>
        <v>Ra</v>
      </c>
      <c r="J2" s="1" t="str">
        <f>RIGHT(Table1[[#This Row],[Employee]],3)</f>
        <v>hul</v>
      </c>
      <c r="K2" s="1" t="str">
        <f>MID(Table1[[#This Row],[Employee]],2,3)</f>
        <v>ahu</v>
      </c>
      <c r="L2" s="1">
        <f>LEN(Table1[[#This Row],[Employee]])</f>
        <v>5</v>
      </c>
      <c r="M2" s="1" t="str">
        <f>TRIM(Table1[[#This Row],[Employee]])</f>
        <v>Rahul</v>
      </c>
      <c r="N2" s="1" t="str">
        <f>_xlfn.CONCAT(Table1[[#This Row],[Employee]]," ",Table1[[#This Row],[Department]])</f>
        <v>Rahul Sales</v>
      </c>
      <c r="O2" s="1" t="str">
        <f>_xlfn.TEXTJOIN("@",TRUE,Table1[[#This Row],[UPPER]],Table1[[#This Row],[LOWER]])</f>
        <v>RAHUL@rahul</v>
      </c>
      <c r="P2" s="1">
        <f>FIND("a",Table1[[#This Row],[Employee]])</f>
        <v>2</v>
      </c>
      <c r="Q2" s="1" t="str">
        <f>SUBSTITUTE(Table1[[#This Row],[Employee]],A3,"RAHUL")</f>
        <v>Rahul</v>
      </c>
      <c r="R2" s="2" t="str">
        <f>REPLACE(Table1[[#This Row],[Employee]],2,2,"I")</f>
        <v>RIul</v>
      </c>
    </row>
    <row r="3" spans="1:18" x14ac:dyDescent="0.3">
      <c r="A3" s="1" t="s">
        <v>6</v>
      </c>
      <c r="B3" s="1" t="s">
        <v>7</v>
      </c>
      <c r="C3" s="1">
        <v>40000</v>
      </c>
      <c r="D3" s="1">
        <v>60000</v>
      </c>
      <c r="E3" s="1">
        <v>75</v>
      </c>
      <c r="F3" s="1" t="str">
        <f>UPPER(Table1[[#This Row],[Employee]])</f>
        <v>PRIYA</v>
      </c>
      <c r="G3" s="1" t="str">
        <f>LOWER(Table1[[#This Row],[Employee]])</f>
        <v>priya</v>
      </c>
      <c r="H3" s="1" t="str">
        <f t="shared" si="0"/>
        <v>Amit</v>
      </c>
      <c r="I3" s="1" t="str">
        <f>LEFT(Table1[[#This Row],[Employee]],2)</f>
        <v>Pr</v>
      </c>
      <c r="J3" s="1" t="str">
        <f>RIGHT(Table1[[#This Row],[Employee]],3)</f>
        <v>iya</v>
      </c>
      <c r="K3" s="1" t="str">
        <f>MID(Table1[[#This Row],[Employee]],2,3)</f>
        <v>riy</v>
      </c>
      <c r="L3" s="1">
        <f>LEN(Table1[[#This Row],[Employee]])</f>
        <v>5</v>
      </c>
      <c r="M3" s="1" t="str">
        <f>TRIM(Table1[[#This Row],[Employee]])</f>
        <v>Priya</v>
      </c>
      <c r="N3" s="1" t="str">
        <f>_xlfn.CONCAT(Table1[[#This Row],[Employee]]," ",Table1[[#This Row],[Department]])</f>
        <v>Priya HR</v>
      </c>
      <c r="O3" s="1" t="str">
        <f>_xlfn.TEXTJOIN("@",TRUE,Table1[[#This Row],[UPPER]],Table1[[#This Row],[LOWER]])</f>
        <v>PRIYA@priya</v>
      </c>
      <c r="P3" s="1">
        <f>FIND("a",Table1[[#This Row],[Employee]])</f>
        <v>5</v>
      </c>
      <c r="Q3" s="1" t="str">
        <f>SUBSTITUTE(Table1[[#This Row],[Employee]],A4,"RAHUL")</f>
        <v>Priya</v>
      </c>
      <c r="R3" s="2" t="str">
        <f>REPLACE(Table1[[#This Row],[Employee]],2,2,"I")</f>
        <v>PIya</v>
      </c>
    </row>
    <row r="4" spans="1:18" x14ac:dyDescent="0.3">
      <c r="A4" s="1" t="s">
        <v>8</v>
      </c>
      <c r="B4" s="1" t="s">
        <v>3</v>
      </c>
      <c r="C4" s="1">
        <v>45000</v>
      </c>
      <c r="D4" s="1">
        <v>95000</v>
      </c>
      <c r="E4" s="1">
        <v>91</v>
      </c>
      <c r="F4" s="1" t="str">
        <f>UPPER(Table1[[#This Row],[Employee]])</f>
        <v>AMIT</v>
      </c>
      <c r="G4" s="1" t="str">
        <f>LOWER(Table1[[#This Row],[Employee]])</f>
        <v>amit</v>
      </c>
      <c r="H4" s="1" t="str">
        <f t="shared" si="0"/>
        <v>Sneha</v>
      </c>
      <c r="I4" s="1" t="str">
        <f>LEFT(Table1[[#This Row],[Employee]],2)</f>
        <v>Am</v>
      </c>
      <c r="J4" s="1" t="str">
        <f>RIGHT(Table1[[#This Row],[Employee]],3)</f>
        <v>mit</v>
      </c>
      <c r="K4" s="1" t="str">
        <f>MID(Table1[[#This Row],[Employee]],2,3)</f>
        <v>mit</v>
      </c>
      <c r="L4" s="1">
        <f>LEN(Table1[[#This Row],[Employee]])</f>
        <v>4</v>
      </c>
      <c r="M4" s="1" t="str">
        <f>TRIM(Table1[[#This Row],[Employee]])</f>
        <v>Amit</v>
      </c>
      <c r="N4" s="1" t="str">
        <f>_xlfn.CONCAT(Table1[[#This Row],[Employee]]," ",Table1[[#This Row],[Department]])</f>
        <v>Amit Sales</v>
      </c>
      <c r="O4" s="1" t="str">
        <f>_xlfn.TEXTJOIN("@",TRUE,Table1[[#This Row],[UPPER]],Table1[[#This Row],[LOWER]])</f>
        <v>AMIT@amit</v>
      </c>
      <c r="P4" s="1" t="e">
        <f>FIND("a",Table1[[#This Row],[Employee]])</f>
        <v>#VALUE!</v>
      </c>
      <c r="Q4" s="1" t="str">
        <f>SUBSTITUTE(Table1[[#This Row],[Employee]],A5,"RAHUL")</f>
        <v>Amit</v>
      </c>
      <c r="R4" s="2" t="str">
        <f>REPLACE(Table1[[#This Row],[Employee]],2,2,"I")</f>
        <v>AIt</v>
      </c>
    </row>
    <row r="5" spans="1:18" x14ac:dyDescent="0.3">
      <c r="A5" s="1" t="s">
        <v>9</v>
      </c>
      <c r="B5" s="1" t="s">
        <v>10</v>
      </c>
      <c r="C5" s="1">
        <v>50000</v>
      </c>
      <c r="D5" s="1">
        <v>70000</v>
      </c>
      <c r="E5" s="1">
        <v>88</v>
      </c>
      <c r="F5" s="1" t="str">
        <f>UPPER(Table1[[#This Row],[Employee]])</f>
        <v>SNEHA</v>
      </c>
      <c r="G5" s="1" t="str">
        <f>LOWER(Table1[[#This Row],[Employee]])</f>
        <v>sneha</v>
      </c>
      <c r="H5" s="1" t="str">
        <f t="shared" si="0"/>
        <v>Karan</v>
      </c>
      <c r="I5" s="1" t="str">
        <f>LEFT(Table1[[#This Row],[Employee]],2)</f>
        <v>Sn</v>
      </c>
      <c r="J5" s="1" t="str">
        <f>RIGHT(Table1[[#This Row],[Employee]],3)</f>
        <v>eha</v>
      </c>
      <c r="K5" s="1" t="str">
        <f>MID(Table1[[#This Row],[Employee]],2,3)</f>
        <v>neh</v>
      </c>
      <c r="L5" s="1">
        <f>LEN(Table1[[#This Row],[Employee]])</f>
        <v>5</v>
      </c>
      <c r="M5" s="1" t="str">
        <f>TRIM(Table1[[#This Row],[Employee]])</f>
        <v>Sneha</v>
      </c>
      <c r="N5" s="1" t="str">
        <f>_xlfn.CONCAT(Table1[[#This Row],[Employee]]," ",Table1[[#This Row],[Department]])</f>
        <v>Sneha IT</v>
      </c>
      <c r="O5" s="1" t="str">
        <f>_xlfn.TEXTJOIN("@",TRUE,Table1[[#This Row],[UPPER]],Table1[[#This Row],[LOWER]])</f>
        <v>SNEHA@sneha</v>
      </c>
      <c r="P5" s="1">
        <f>FIND("a",Table1[[#This Row],[Employee]])</f>
        <v>5</v>
      </c>
      <c r="Q5" s="1" t="str">
        <f>SUBSTITUTE(Table1[[#This Row],[Employee]],A6,"RAHUL")</f>
        <v>Sneha</v>
      </c>
      <c r="R5" s="2" t="str">
        <f>REPLACE(Table1[[#This Row],[Employee]],2,2,"I")</f>
        <v>SIha</v>
      </c>
    </row>
    <row r="6" spans="1:18" x14ac:dyDescent="0.3">
      <c r="A6" s="1" t="s">
        <v>11</v>
      </c>
      <c r="B6" s="1" t="s">
        <v>3</v>
      </c>
      <c r="C6" s="1">
        <v>38000</v>
      </c>
      <c r="D6" s="1">
        <v>78000</v>
      </c>
      <c r="E6" s="1">
        <v>72</v>
      </c>
      <c r="F6" s="1" t="str">
        <f>UPPER(Table1[[#This Row],[Employee]])</f>
        <v>KARAN</v>
      </c>
      <c r="G6" s="1" t="str">
        <f>LOWER(Table1[[#This Row],[Employee]])</f>
        <v>karan</v>
      </c>
      <c r="H6" s="1" t="str">
        <f t="shared" si="0"/>
        <v>Neha</v>
      </c>
      <c r="I6" s="1" t="str">
        <f>LEFT(Table1[[#This Row],[Employee]],2)</f>
        <v>Ka</v>
      </c>
      <c r="J6" s="1" t="str">
        <f>RIGHT(Table1[[#This Row],[Employee]],3)</f>
        <v>ran</v>
      </c>
      <c r="K6" s="1" t="str">
        <f>MID(Table1[[#This Row],[Employee]],2,3)</f>
        <v>ara</v>
      </c>
      <c r="L6" s="1">
        <f>LEN(Table1[[#This Row],[Employee]])</f>
        <v>5</v>
      </c>
      <c r="M6" s="1" t="str">
        <f>TRIM(Table1[[#This Row],[Employee]])</f>
        <v>Karan</v>
      </c>
      <c r="N6" s="1" t="str">
        <f>_xlfn.CONCAT(Table1[[#This Row],[Employee]]," ",Table1[[#This Row],[Department]])</f>
        <v>Karan Sales</v>
      </c>
      <c r="O6" s="1" t="str">
        <f>_xlfn.TEXTJOIN("@",TRUE,Table1[[#This Row],[UPPER]],Table1[[#This Row],[LOWER]])</f>
        <v>KARAN@karan</v>
      </c>
      <c r="P6" s="1">
        <f>FIND("a",Table1[[#This Row],[Employee]])</f>
        <v>2</v>
      </c>
      <c r="Q6" s="1" t="str">
        <f>SUBSTITUTE(Table1[[#This Row],[Employee]],A7,"RAHUL")</f>
        <v>Karan</v>
      </c>
      <c r="R6" s="2" t="str">
        <f>REPLACE(Table1[[#This Row],[Employee]],2,2,"I")</f>
        <v>KIan</v>
      </c>
    </row>
    <row r="7" spans="1:18" x14ac:dyDescent="0.3">
      <c r="A7" s="1" t="s">
        <v>12</v>
      </c>
      <c r="B7" s="1" t="s">
        <v>7</v>
      </c>
      <c r="C7" s="1">
        <v>42000</v>
      </c>
      <c r="D7" s="1">
        <v>65000</v>
      </c>
      <c r="E7" s="1">
        <v>80</v>
      </c>
      <c r="F7" s="1" t="str">
        <f>UPPER(Table1[[#This Row],[Employee]])</f>
        <v>NEHA</v>
      </c>
      <c r="G7" s="1" t="str">
        <f>LOWER(Table1[[#This Row],[Employee]])</f>
        <v>neha</v>
      </c>
      <c r="H7" s="1" t="str">
        <f t="shared" si="0"/>
        <v>Rohit</v>
      </c>
      <c r="I7" s="1" t="str">
        <f>LEFT(Table1[[#This Row],[Employee]],2)</f>
        <v>Ne</v>
      </c>
      <c r="J7" s="1" t="str">
        <f>RIGHT(Table1[[#This Row],[Employee]],3)</f>
        <v>eha</v>
      </c>
      <c r="K7" s="1" t="str">
        <f>MID(Table1[[#This Row],[Employee]],2,3)</f>
        <v>eha</v>
      </c>
      <c r="L7" s="1">
        <f>LEN(Table1[[#This Row],[Employee]])</f>
        <v>4</v>
      </c>
      <c r="M7" s="1" t="str">
        <f>TRIM(Table1[[#This Row],[Employee]])</f>
        <v>Neha</v>
      </c>
      <c r="N7" s="1" t="str">
        <f>_xlfn.CONCAT(Table1[[#This Row],[Employee]]," ",Table1[[#This Row],[Department]])</f>
        <v>Neha HR</v>
      </c>
      <c r="O7" s="1" t="str">
        <f>_xlfn.TEXTJOIN("@",TRUE,Table1[[#This Row],[UPPER]],Table1[[#This Row],[LOWER]])</f>
        <v>NEHA@neha</v>
      </c>
      <c r="P7" s="1">
        <f>FIND("a",Table1[[#This Row],[Employee]])</f>
        <v>4</v>
      </c>
      <c r="Q7" s="1" t="str">
        <f>SUBSTITUTE(Table1[[#This Row],[Employee]],A8,"RAHUL")</f>
        <v>Neha</v>
      </c>
      <c r="R7" s="2" t="str">
        <f>REPLACE(Table1[[#This Row],[Employee]],2,2,"I")</f>
        <v>NIa</v>
      </c>
    </row>
    <row r="8" spans="1:18" x14ac:dyDescent="0.3">
      <c r="A8" s="1" t="s">
        <v>13</v>
      </c>
      <c r="B8" s="1" t="s">
        <v>10</v>
      </c>
      <c r="C8" s="1">
        <v>55000</v>
      </c>
      <c r="D8" s="1">
        <v>105000</v>
      </c>
      <c r="E8" s="1">
        <v>95</v>
      </c>
      <c r="F8" s="1" t="str">
        <f>UPPER(Table1[[#This Row],[Employee]])</f>
        <v>ROHIT</v>
      </c>
      <c r="G8" s="1" t="str">
        <f>LOWER(Table1[[#This Row],[Employee]])</f>
        <v>rohit</v>
      </c>
      <c r="H8" s="1" t="str">
        <f t="shared" si="0"/>
        <v>Pooja</v>
      </c>
      <c r="I8" s="1" t="str">
        <f>LEFT(Table1[[#This Row],[Employee]],2)</f>
        <v>Ro</v>
      </c>
      <c r="J8" s="1" t="str">
        <f>RIGHT(Table1[[#This Row],[Employee]],3)</f>
        <v>hit</v>
      </c>
      <c r="K8" s="1" t="str">
        <f>MID(Table1[[#This Row],[Employee]],2,3)</f>
        <v>ohi</v>
      </c>
      <c r="L8" s="1">
        <f>LEN(Table1[[#This Row],[Employee]])</f>
        <v>5</v>
      </c>
      <c r="M8" s="1" t="str">
        <f>TRIM(Table1[[#This Row],[Employee]])</f>
        <v>Rohit</v>
      </c>
      <c r="N8" s="1" t="str">
        <f>_xlfn.CONCAT(Table1[[#This Row],[Employee]]," ",Table1[[#This Row],[Department]])</f>
        <v>Rohit IT</v>
      </c>
      <c r="O8" s="1" t="str">
        <f>_xlfn.TEXTJOIN("@",TRUE,Table1[[#This Row],[UPPER]],Table1[[#This Row],[LOWER]])</f>
        <v>ROHIT@rohit</v>
      </c>
      <c r="P8" s="1" t="e">
        <f>FIND("a",Table1[[#This Row],[Employee]])</f>
        <v>#VALUE!</v>
      </c>
      <c r="Q8" s="1" t="str">
        <f>SUBSTITUTE(Table1[[#This Row],[Employee]],A9,"RAHUL")</f>
        <v>Rohit</v>
      </c>
      <c r="R8" s="2" t="str">
        <f>REPLACE(Table1[[#This Row],[Employee]],2,2,"I")</f>
        <v>RIit</v>
      </c>
    </row>
    <row r="9" spans="1:18" x14ac:dyDescent="0.3">
      <c r="A9" s="1" t="s">
        <v>14</v>
      </c>
      <c r="B9" s="1" t="s">
        <v>3</v>
      </c>
      <c r="C9" s="1">
        <v>36000</v>
      </c>
      <c r="D9" s="1">
        <v>72000</v>
      </c>
      <c r="E9" s="1">
        <v>68</v>
      </c>
      <c r="F9" s="1" t="str">
        <f>UPPER(Table1[[#This Row],[Employee]])</f>
        <v>POOJA</v>
      </c>
      <c r="G9" s="1" t="str">
        <f>LOWER(Table1[[#This Row],[Employee]])</f>
        <v>pooja</v>
      </c>
      <c r="H9" s="1" t="str">
        <f t="shared" si="0"/>
        <v>Akash</v>
      </c>
      <c r="I9" s="1" t="str">
        <f>LEFT(Table1[[#This Row],[Employee]],2)</f>
        <v>Po</v>
      </c>
      <c r="J9" s="1" t="str">
        <f>RIGHT(Table1[[#This Row],[Employee]],3)</f>
        <v>oja</v>
      </c>
      <c r="K9" s="1" t="str">
        <f>MID(Table1[[#This Row],[Employee]],2,3)</f>
        <v>ooj</v>
      </c>
      <c r="L9" s="1">
        <f>LEN(Table1[[#This Row],[Employee]])</f>
        <v>5</v>
      </c>
      <c r="M9" s="1" t="str">
        <f>TRIM(Table1[[#This Row],[Employee]])</f>
        <v>Pooja</v>
      </c>
      <c r="N9" s="1" t="str">
        <f>_xlfn.CONCAT(Table1[[#This Row],[Employee]]," ",Table1[[#This Row],[Department]])</f>
        <v>Pooja Sales</v>
      </c>
      <c r="O9" s="1" t="str">
        <f>_xlfn.TEXTJOIN("@",TRUE,Table1[[#This Row],[UPPER]],Table1[[#This Row],[LOWER]])</f>
        <v>POOJA@pooja</v>
      </c>
      <c r="P9" s="1">
        <f>FIND("a",Table1[[#This Row],[Employee]])</f>
        <v>5</v>
      </c>
      <c r="Q9" s="1" t="str">
        <f>SUBSTITUTE(Table1[[#This Row],[Employee]],A10,"RAHUL")</f>
        <v>Pooja</v>
      </c>
      <c r="R9" s="2" t="str">
        <f>REPLACE(Table1[[#This Row],[Employee]],2,2,"I")</f>
        <v>PIja</v>
      </c>
    </row>
    <row r="10" spans="1:18" x14ac:dyDescent="0.3">
      <c r="A10" s="1" t="s">
        <v>15</v>
      </c>
      <c r="B10" s="1" t="s">
        <v>10</v>
      </c>
      <c r="C10" s="1">
        <v>48000</v>
      </c>
      <c r="D10" s="1">
        <v>90000</v>
      </c>
      <c r="E10" s="1">
        <v>85</v>
      </c>
      <c r="F10" s="1" t="str">
        <f>UPPER(Table1[[#This Row],[Employee]])</f>
        <v>AKASH</v>
      </c>
      <c r="G10" s="1" t="str">
        <f>LOWER(Table1[[#This Row],[Employee]])</f>
        <v>akash</v>
      </c>
      <c r="H10" s="1" t="str">
        <f t="shared" si="0"/>
        <v>Meena</v>
      </c>
      <c r="I10" s="1" t="str">
        <f>LEFT(Table1[[#This Row],[Employee]],2)</f>
        <v>Ak</v>
      </c>
      <c r="J10" s="1" t="str">
        <f>RIGHT(Table1[[#This Row],[Employee]],3)</f>
        <v>ash</v>
      </c>
      <c r="K10" s="1" t="str">
        <f>MID(Table1[[#This Row],[Employee]],2,3)</f>
        <v>kas</v>
      </c>
      <c r="L10" s="1">
        <f>LEN(Table1[[#This Row],[Employee]])</f>
        <v>5</v>
      </c>
      <c r="M10" s="1" t="str">
        <f>TRIM(Table1[[#This Row],[Employee]])</f>
        <v>Akash</v>
      </c>
      <c r="N10" s="1" t="str">
        <f>_xlfn.CONCAT(Table1[[#This Row],[Employee]]," ",Table1[[#This Row],[Department]])</f>
        <v>Akash IT</v>
      </c>
      <c r="O10" s="1" t="str">
        <f>_xlfn.TEXTJOIN("@",TRUE,Table1[[#This Row],[UPPER]],Table1[[#This Row],[LOWER]])</f>
        <v>AKASH@akash</v>
      </c>
      <c r="P10" s="1">
        <f>FIND("a",Table1[[#This Row],[Employee]])</f>
        <v>3</v>
      </c>
      <c r="Q10" s="1" t="str">
        <f>SUBSTITUTE(Table1[[#This Row],[Employee]],A11,"RAHUL")</f>
        <v>Akash</v>
      </c>
      <c r="R10" s="2" t="str">
        <f>REPLACE(Table1[[#This Row],[Employee]],2,2,"I")</f>
        <v>AIsh</v>
      </c>
    </row>
    <row r="11" spans="1:18" x14ac:dyDescent="0.3">
      <c r="A11" s="1" t="s">
        <v>16</v>
      </c>
      <c r="B11" s="1" t="s">
        <v>7</v>
      </c>
      <c r="C11" s="1">
        <v>39000</v>
      </c>
      <c r="D11" s="1">
        <v>58000</v>
      </c>
      <c r="E11" s="1">
        <v>70</v>
      </c>
      <c r="F11" s="1" t="str">
        <f>UPPER(Table1[[#This Row],[Employee]])</f>
        <v>MEENA</v>
      </c>
      <c r="G11" s="1" t="str">
        <f>LOWER(Table1[[#This Row],[Employee]])</f>
        <v>meena</v>
      </c>
      <c r="H11" s="1" t="str">
        <f t="shared" si="0"/>
        <v>Rahul</v>
      </c>
      <c r="I11" s="1" t="str">
        <f>LEFT(Table1[[#This Row],[Employee]],2)</f>
        <v>Me</v>
      </c>
      <c r="J11" s="1" t="str">
        <f>RIGHT(Table1[[#This Row],[Employee]],3)</f>
        <v>ena</v>
      </c>
      <c r="K11" s="1" t="str">
        <f>MID(Table1[[#This Row],[Employee]],2,3)</f>
        <v>een</v>
      </c>
      <c r="L11" s="1">
        <f>LEN(Table1[[#This Row],[Employee]])</f>
        <v>5</v>
      </c>
      <c r="M11" s="1" t="str">
        <f>TRIM(Table1[[#This Row],[Employee]])</f>
        <v>Meena</v>
      </c>
      <c r="N11" s="1" t="str">
        <f>_xlfn.CONCAT(Table1[[#This Row],[Employee]]," ",Table1[[#This Row],[Department]])</f>
        <v>Meena HR</v>
      </c>
      <c r="O11" s="1" t="str">
        <f>_xlfn.TEXTJOIN("@",TRUE,Table1[[#This Row],[UPPER]],Table1[[#This Row],[LOWER]])</f>
        <v>MEENA@meena</v>
      </c>
      <c r="P11" s="1">
        <f>FIND("a",Table1[[#This Row],[Employee]])</f>
        <v>5</v>
      </c>
      <c r="Q11" s="1" t="str">
        <f>SUBSTITUTE(Table1[[#This Row],[Employee]],A12,"RAHUL")</f>
        <v>Meena</v>
      </c>
      <c r="R11" s="2" t="str">
        <f>REPLACE(Table1[[#This Row],[Employee]],2,2,"I")</f>
        <v>MIna</v>
      </c>
    </row>
    <row r="12" spans="1:18" x14ac:dyDescent="0.3">
      <c r="A12" s="1" t="s">
        <v>5</v>
      </c>
      <c r="B12" s="1" t="s">
        <v>3</v>
      </c>
      <c r="C12" s="1">
        <v>35000</v>
      </c>
      <c r="D12" s="1">
        <v>85000</v>
      </c>
      <c r="E12" s="1">
        <v>82</v>
      </c>
      <c r="F12" s="1" t="str">
        <f>UPPER(Table1[[#This Row],[Employee]])</f>
        <v>RAHUL</v>
      </c>
      <c r="G12" s="1" t="str">
        <f>LOWER(Table1[[#This Row],[Employee]])</f>
        <v>rahul</v>
      </c>
      <c r="H12" s="1" t="str">
        <f t="shared" si="0"/>
        <v/>
      </c>
      <c r="I12" s="1" t="str">
        <f>LEFT(Table1[[#This Row],[Employee]],2)</f>
        <v>Ra</v>
      </c>
      <c r="J12" s="1" t="str">
        <f>RIGHT(Table1[[#This Row],[Employee]],3)</f>
        <v>hul</v>
      </c>
      <c r="K12" s="1" t="str">
        <f>MID(Table1[[#This Row],[Employee]],2,3)</f>
        <v>ahu</v>
      </c>
      <c r="L12" s="1">
        <f>LEN(Table1[[#This Row],[Employee]])</f>
        <v>5</v>
      </c>
      <c r="M12" s="1" t="str">
        <f>TRIM(Table1[[#This Row],[Employee]])</f>
        <v>Rahul</v>
      </c>
      <c r="N12" s="1" t="str">
        <f>_xlfn.CONCAT(Table1[[#This Row],[Employee]]," ",Table1[[#This Row],[Department]])</f>
        <v>Rahul Sales</v>
      </c>
      <c r="O12" s="1" t="str">
        <f>_xlfn.TEXTJOIN("@",TRUE,Table1[[#This Row],[UPPER]],Table1[[#This Row],[LOWER]])</f>
        <v>RAHUL@rahul</v>
      </c>
      <c r="P12" s="1">
        <f>FIND("a",Table1[[#This Row],[Employee]])</f>
        <v>2</v>
      </c>
      <c r="Q12" s="1" t="str">
        <f>SUBSTITUTE(Table1[[#This Row],[Employee]],A13,"RAHUL")</f>
        <v>Rahul</v>
      </c>
      <c r="R12" s="2" t="str">
        <f>REPLACE(Table1[[#This Row],[Employee]],2,2,"I")</f>
        <v>RIul</v>
      </c>
    </row>
    <row r="13" spans="1:18" x14ac:dyDescent="0.3">
      <c r="A13" s="1"/>
      <c r="B13" s="1"/>
      <c r="C13" s="1"/>
      <c r="D13" s="1"/>
      <c r="E13" s="1"/>
    </row>
    <row r="14" spans="1:18" x14ac:dyDescent="0.3">
      <c r="A14" s="1"/>
      <c r="B14" s="1"/>
      <c r="C14" s="1"/>
      <c r="D14" s="1"/>
      <c r="E14" s="1"/>
    </row>
    <row r="15" spans="1:18" x14ac:dyDescent="0.3">
      <c r="A15" s="1"/>
      <c r="B15" s="1"/>
      <c r="C15" s="1"/>
      <c r="D15" s="1"/>
      <c r="E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sayyed</dc:creator>
  <cp:lastModifiedBy>Ruhi sayyed</cp:lastModifiedBy>
  <dcterms:created xsi:type="dcterms:W3CDTF">2026-10-22T08:16:57Z</dcterms:created>
  <dcterms:modified xsi:type="dcterms:W3CDTF">2026-10-22T09:36:33Z</dcterms:modified>
</cp:coreProperties>
</file>